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elvinch\Desktop\xplug\NMBT\Phase 2\finance-nostro-recon\Template\"/>
    </mc:Choice>
  </mc:AlternateContent>
  <bookViews>
    <workbookView xWindow="0" yWindow="0" windowWidth="23040" windowHeight="8784"/>
  </bookViews>
  <sheets>
    <sheet name="Summary" sheetId="1" r:id="rId1"/>
    <sheet name="Internal outstanding" sheetId="2" r:id="rId2"/>
    <sheet name="External outstanding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" i="1" l="1"/>
  <c r="A16" i="1" s="1"/>
  <c r="B13" i="1"/>
  <c r="A23" i="1" l="1"/>
  <c r="D36" i="1" l="1"/>
  <c r="D40" i="1" l="1"/>
  <c r="D38" i="1"/>
  <c r="A22" i="1" l="1"/>
  <c r="A15" i="1"/>
  <c r="AC3" i="1" l="1"/>
  <c r="D5" i="3"/>
  <c r="D17" i="1" s="1"/>
  <c r="C5" i="3"/>
  <c r="D18" i="1" s="1"/>
  <c r="A5" i="3"/>
  <c r="D5" i="2"/>
  <c r="C5" i="2"/>
  <c r="D25" i="1"/>
  <c r="D24" i="1"/>
  <c r="D22" i="1"/>
  <c r="D15" i="1"/>
  <c r="AC4" i="1"/>
  <c r="D27" i="1" l="1"/>
  <c r="D20" i="1"/>
  <c r="D30" i="1" l="1"/>
</calcChain>
</file>

<file path=xl/sharedStrings.xml><?xml version="1.0" encoding="utf-8"?>
<sst xmlns="http://schemas.openxmlformats.org/spreadsheetml/2006/main" count="53" uniqueCount="39">
  <si>
    <t>NATIONAL MICROFINANCE BANK PLC</t>
  </si>
  <si>
    <t>FINANCE AND CONTROL DEPARTMENT</t>
  </si>
  <si>
    <t>RECONCILIATION UNIT</t>
  </si>
  <si>
    <t>RECONCILIATION OF:-</t>
  </si>
  <si>
    <t>Currency:-</t>
  </si>
  <si>
    <t>Reconciliation Date:-</t>
  </si>
  <si>
    <t>Add. Outstanding credit in the statement</t>
  </si>
  <si>
    <t>Less. Outstanding debit in the statement</t>
  </si>
  <si>
    <t xml:space="preserve"> </t>
  </si>
  <si>
    <t>Corrected ledger balance</t>
  </si>
  <si>
    <t>Add:Outstanding debit in the ledger</t>
  </si>
  <si>
    <t xml:space="preserve">  </t>
  </si>
  <si>
    <t>Less. Outstanding credit in the ledger</t>
  </si>
  <si>
    <t>Corrected statement balance</t>
  </si>
  <si>
    <t>Check_Balance</t>
  </si>
  <si>
    <t xml:space="preserve">              </t>
  </si>
  <si>
    <t>OUTSTANDING  ITEMS  IN  THE G/LEDGER</t>
  </si>
  <si>
    <t>TOTAL</t>
  </si>
  <si>
    <t>TRN Date</t>
  </si>
  <si>
    <t>Value Date</t>
  </si>
  <si>
    <t>DR</t>
  </si>
  <si>
    <t>CR</t>
  </si>
  <si>
    <t>TRN Reference</t>
  </si>
  <si>
    <t>Source Reference</t>
  </si>
  <si>
    <t>Narrative</t>
  </si>
  <si>
    <t>Aging</t>
  </si>
  <si>
    <t>AGING GROUP</t>
  </si>
  <si>
    <t>BOT Classification</t>
  </si>
  <si>
    <t>Duplicate Mark</t>
  </si>
  <si>
    <t>OUTSTANDING  ITEMS  IN  THE STATEMENT</t>
  </si>
  <si>
    <t>Internal Date</t>
  </si>
  <si>
    <t>Calc_Date</t>
  </si>
  <si>
    <t>stmnt_bal_Dt</t>
  </si>
  <si>
    <t>ledgr_bal_Dt</t>
  </si>
  <si>
    <t>Related Reference (61)</t>
  </si>
  <si>
    <t>Detailed Narration</t>
  </si>
  <si>
    <r>
      <rPr>
        <b/>
        <sz val="14"/>
        <color indexed="8"/>
        <rFont val="Calibri"/>
        <family val="2"/>
      </rPr>
      <t>PREPARED   BY</t>
    </r>
    <r>
      <rPr>
        <sz val="14"/>
        <color indexed="8"/>
        <rFont val="Calibri"/>
        <family val="2"/>
      </rPr>
      <t xml:space="preserve">  -  </t>
    </r>
    <r>
      <rPr>
        <b/>
        <sz val="14"/>
        <color indexed="8"/>
        <rFont val="Calibri"/>
        <family val="2"/>
      </rPr>
      <t>ROBOT</t>
    </r>
  </si>
  <si>
    <r>
      <rPr>
        <b/>
        <sz val="14"/>
        <color indexed="8"/>
        <rFont val="Calibri"/>
        <family val="2"/>
      </rPr>
      <t>CHECKED    BY</t>
    </r>
    <r>
      <rPr>
        <sz val="14"/>
        <color indexed="8"/>
        <rFont val="Calibri"/>
        <family val="2"/>
      </rPr>
      <t xml:space="preserve"> - </t>
    </r>
    <r>
      <rPr>
        <b/>
        <sz val="14"/>
        <color indexed="8"/>
        <rFont val="Calibri"/>
        <family val="2"/>
      </rPr>
      <t>CHARLES KAHUNGU</t>
    </r>
  </si>
  <si>
    <t>CONFIRMED BY - FRED KILIMBA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</si>
</sst>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* #,##0.00_ ;_ * \-#,##0.00_ ;_ * &quot;-&quot;??_ ;_ @_ "/>
    <numFmt numFmtId="165" formatCode="dd/mm/yy"/>
    <numFmt numFmtId="166" formatCode="_-* #,##0.00_-;\-* #,##0.00_-;_-* &quot;-&quot;??_-;_-@_-"/>
    <numFmt numFmtId="167" formatCode="[$-409]d\-mmm\-yy;@"/>
    <numFmt numFmtId="168" formatCode="yyyy/mm/dd;@"/>
    <numFmt numFmtId="169" formatCode="0;[Red]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indexed="10"/>
      <name val="Arial"/>
      <family val="2"/>
    </font>
    <font>
      <b/>
      <i/>
      <sz val="12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sz val="14"/>
      <color indexed="8"/>
      <name val="Calibri"/>
      <family val="2"/>
    </font>
    <font>
      <b/>
      <sz val="14"/>
      <color indexed="8"/>
      <name val="Calibri"/>
      <family val="2"/>
    </font>
    <font>
      <sz val="14"/>
      <name val="Calibri"/>
      <family val="2"/>
    </font>
    <font>
      <b/>
      <sz val="14"/>
      <name val="Calibri"/>
      <family val="2"/>
    </font>
    <font>
      <sz val="14"/>
      <name val="Arial"/>
      <family val="2"/>
    </font>
    <font>
      <b/>
      <i/>
      <sz val="14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3" tint="-0.4999542222357860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8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</borders>
  <cellStyleXfs count="4">
    <xf numFmtId="0" fontId="0" fillId="0" borderId="0"/>
    <xf numFmtId="43" fontId="19" fillId="0" borderId="0" applyFont="0" applyFill="0" applyBorder="0" applyAlignment="0" applyProtection="0"/>
    <xf numFmtId="0" fontId="7" fillId="0" borderId="0"/>
    <xf numFmtId="0" fontId="7" fillId="0" borderId="0"/>
  </cellStyleXfs>
  <cellXfs count="73">
    <xf numFmtId="0" fontId="0" fillId="0" borderId="0" xfId="0"/>
    <xf numFmtId="0" fontId="4" fillId="0" borderId="0" xfId="0" applyFont="1"/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6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5" fillId="3" borderId="1" xfId="0" applyFont="1" applyFill="1" applyBorder="1"/>
    <xf numFmtId="0" fontId="4" fillId="0" borderId="1" xfId="0" applyFont="1" applyBorder="1"/>
    <xf numFmtId="43" fontId="5" fillId="0" borderId="1" xfId="1" applyFont="1" applyBorder="1" applyAlignment="1">
      <alignment horizontal="center"/>
    </xf>
    <xf numFmtId="0" fontId="7" fillId="0" borderId="1" xfId="0" applyFont="1" applyBorder="1"/>
    <xf numFmtId="43" fontId="4" fillId="0" borderId="1" xfId="1" applyFont="1" applyBorder="1" applyAlignment="1"/>
    <xf numFmtId="43" fontId="4" fillId="0" borderId="1" xfId="1" applyFont="1" applyBorder="1"/>
    <xf numFmtId="43" fontId="5" fillId="0" borderId="1" xfId="1" applyFont="1" applyBorder="1"/>
    <xf numFmtId="0" fontId="5" fillId="4" borderId="1" xfId="0" applyFont="1" applyFill="1" applyBorder="1"/>
    <xf numFmtId="0" fontId="5" fillId="0" borderId="1" xfId="0" applyFont="1" applyBorder="1"/>
    <xf numFmtId="43" fontId="7" fillId="0" borderId="1" xfId="1" applyFont="1" applyFill="1" applyBorder="1"/>
    <xf numFmtId="43" fontId="4" fillId="0" borderId="0" xfId="1" applyFont="1" applyBorder="1"/>
    <xf numFmtId="0" fontId="8" fillId="0" borderId="0" xfId="2" applyFont="1"/>
    <xf numFmtId="0" fontId="10" fillId="0" borderId="0" xfId="2" applyFont="1"/>
    <xf numFmtId="0" fontId="11" fillId="0" borderId="0" xfId="2" applyFont="1"/>
    <xf numFmtId="0" fontId="12" fillId="0" borderId="0" xfId="0" applyFont="1"/>
    <xf numFmtId="166" fontId="4" fillId="0" borderId="0" xfId="0" applyNumberFormat="1" applyFont="1"/>
    <xf numFmtId="0" fontId="4" fillId="0" borderId="3" xfId="0" applyFont="1" applyBorder="1"/>
    <xf numFmtId="168" fontId="14" fillId="0" borderId="0" xfId="0" applyNumberFormat="1" applyFont="1" applyAlignment="1">
      <alignment horizontal="right"/>
    </xf>
    <xf numFmtId="14" fontId="14" fillId="0" borderId="0" xfId="0" applyNumberFormat="1" applyFont="1" applyAlignment="1">
      <alignment horizontal="right"/>
    </xf>
    <xf numFmtId="43" fontId="15" fillId="0" borderId="0" xfId="1" applyFont="1" applyFill="1" applyBorder="1" applyAlignment="1">
      <alignment horizontal="left"/>
    </xf>
    <xf numFmtId="0" fontId="14" fillId="0" borderId="0" xfId="0" applyFont="1"/>
    <xf numFmtId="43" fontId="14" fillId="0" borderId="0" xfId="1" applyFont="1" applyFill="1" applyBorder="1" applyAlignment="1">
      <alignment horizontal="left"/>
    </xf>
    <xf numFmtId="0" fontId="14" fillId="0" borderId="0" xfId="0" applyFont="1" applyAlignment="1">
      <alignment horizontal="left"/>
    </xf>
    <xf numFmtId="0" fontId="1" fillId="0" borderId="0" xfId="0" applyFont="1"/>
    <xf numFmtId="0" fontId="16" fillId="5" borderId="2" xfId="0" applyFont="1" applyFill="1" applyBorder="1" applyAlignment="1">
      <alignment horizontal="center" vertical="center"/>
    </xf>
    <xf numFmtId="43" fontId="16" fillId="5" borderId="1" xfId="1" applyFont="1" applyFill="1" applyBorder="1" applyAlignment="1">
      <alignment horizontal="center" vertical="center"/>
    </xf>
    <xf numFmtId="1" fontId="16" fillId="5" borderId="1" xfId="0" applyNumberFormat="1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169" fontId="5" fillId="5" borderId="2" xfId="0" applyNumberFormat="1" applyFont="1" applyFill="1" applyBorder="1" applyAlignment="1">
      <alignment horizontal="center" vertical="center"/>
    </xf>
    <xf numFmtId="169" fontId="5" fillId="5" borderId="1" xfId="0" applyNumberFormat="1" applyFont="1" applyFill="1" applyBorder="1" applyAlignment="1">
      <alignment horizontal="center" vertical="center"/>
    </xf>
    <xf numFmtId="169" fontId="5" fillId="5" borderId="1" xfId="0" applyNumberFormat="1" applyFont="1" applyFill="1" applyBorder="1" applyAlignment="1">
      <alignment vertical="center"/>
    </xf>
    <xf numFmtId="0" fontId="16" fillId="6" borderId="1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1" xfId="0" applyFont="1" applyBorder="1"/>
    <xf numFmtId="0" fontId="0" fillId="0" borderId="1" xfId="0" applyBorder="1"/>
    <xf numFmtId="43" fontId="0" fillId="0" borderId="1" xfId="1" applyFont="1" applyBorder="1"/>
    <xf numFmtId="44" fontId="0" fillId="0" borderId="1" xfId="0" applyNumberFormat="1" applyBorder="1"/>
    <xf numFmtId="166" fontId="0" fillId="0" borderId="1" xfId="0" applyNumberFormat="1" applyBorder="1" applyAlignment="1">
      <alignment horizontal="left"/>
    </xf>
    <xf numFmtId="168" fontId="18" fillId="0" borderId="1" xfId="0" applyNumberFormat="1" applyFont="1" applyBorder="1" applyAlignment="1">
      <alignment horizontal="right"/>
    </xf>
    <xf numFmtId="0" fontId="18" fillId="0" borderId="0" xfId="0" applyFont="1"/>
    <xf numFmtId="0" fontId="14" fillId="0" borderId="0" xfId="0" applyFont="1" applyAlignment="1">
      <alignment horizontal="right"/>
    </xf>
    <xf numFmtId="43" fontId="16" fillId="5" borderId="2" xfId="1" applyFont="1" applyFill="1" applyBorder="1" applyAlignment="1">
      <alignment horizontal="center" vertical="center"/>
    </xf>
    <xf numFmtId="1" fontId="16" fillId="5" borderId="2" xfId="0" applyNumberFormat="1" applyFont="1" applyFill="1" applyBorder="1" applyAlignment="1">
      <alignment horizontal="center" vertical="center"/>
    </xf>
    <xf numFmtId="169" fontId="5" fillId="5" borderId="4" xfId="0" applyNumberFormat="1" applyFont="1" applyFill="1" applyBorder="1" applyAlignment="1">
      <alignment vertical="center"/>
    </xf>
    <xf numFmtId="43" fontId="18" fillId="0" borderId="1" xfId="1" applyFont="1" applyBorder="1"/>
    <xf numFmtId="44" fontId="18" fillId="0" borderId="1" xfId="0" applyNumberFormat="1" applyFont="1" applyBorder="1"/>
    <xf numFmtId="166" fontId="18" fillId="0" borderId="1" xfId="0" applyNumberFormat="1" applyFont="1" applyBorder="1" applyAlignment="1">
      <alignment horizontal="left"/>
    </xf>
    <xf numFmtId="14" fontId="0" fillId="0" borderId="0" xfId="0" applyNumberFormat="1"/>
    <xf numFmtId="0" fontId="18" fillId="0" borderId="1" xfId="1" applyNumberFormat="1" applyFont="1" applyBorder="1"/>
    <xf numFmtId="0" fontId="15" fillId="0" borderId="0" xfId="1" applyNumberFormat="1" applyFont="1" applyFill="1" applyBorder="1" applyAlignment="1">
      <alignment horizontal="left"/>
    </xf>
    <xf numFmtId="0" fontId="0" fillId="0" borderId="1" xfId="1" applyNumberFormat="1" applyFont="1" applyBorder="1"/>
    <xf numFmtId="22" fontId="0" fillId="0" borderId="0" xfId="0" applyNumberFormat="1"/>
    <xf numFmtId="43" fontId="2" fillId="0" borderId="0" xfId="0" applyNumberFormat="1" applyFont="1" applyAlignment="1">
      <alignment horizontal="center"/>
    </xf>
    <xf numFmtId="0" fontId="13" fillId="0" borderId="3" xfId="3" applyFont="1" applyBorder="1" applyAlignment="1">
      <alignment horizontal="center" vertical="center"/>
    </xf>
    <xf numFmtId="0" fontId="13" fillId="0" borderId="0" xfId="3" applyFont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5" fontId="20" fillId="2" borderId="1" xfId="0" applyNumberFormat="1" applyFont="1" applyFill="1" applyBorder="1" applyAlignment="1">
      <alignment horizontal="left" vertical="center"/>
    </xf>
    <xf numFmtId="167" fontId="11" fillId="0" borderId="0" xfId="2" applyNumberFormat="1" applyFont="1" applyAlignment="1">
      <alignment horizontal="left"/>
    </xf>
    <xf numFmtId="0" fontId="11" fillId="0" borderId="0" xfId="2" applyFont="1" applyAlignment="1">
      <alignment horizontal="left"/>
    </xf>
  </cellXfs>
  <cellStyles count="4">
    <cellStyle name="Comma" xfId="1" builtinId="3"/>
    <cellStyle name="Normal" xfId="0" builtinId="0"/>
    <cellStyle name="Normal 14 2" xfId="3"/>
    <cellStyle name="Normal 2 2" xfId="2"/>
  </cellStyles>
  <dxfs count="5"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</xdr:colOff>
      <xdr:row>0</xdr:row>
      <xdr:rowOff>160020</xdr:rowOff>
    </xdr:from>
    <xdr:to>
      <xdr:col>1</xdr:col>
      <xdr:colOff>784860</xdr:colOff>
      <xdr:row>5</xdr:row>
      <xdr:rowOff>83820</xdr:rowOff>
    </xdr:to>
    <xdr:sp macro="" textlink="">
      <xdr:nvSpPr>
        <xdr:cNvPr id="1025" name="Object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/>
        </xdr:cNvSpPr>
      </xdr:nvSpPr>
      <xdr:spPr bwMode="auto">
        <a:xfrm>
          <a:off x="4648200" y="161925"/>
          <a:ext cx="762000" cy="8286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 editAs="oneCell">
    <xdr:from>
      <xdr:col>0</xdr:col>
      <xdr:colOff>4519505</xdr:colOff>
      <xdr:row>0</xdr:row>
      <xdr:rowOff>129540</xdr:rowOff>
    </xdr:from>
    <xdr:to>
      <xdr:col>1</xdr:col>
      <xdr:colOff>1320800</xdr:colOff>
      <xdr:row>5</xdr:row>
      <xdr:rowOff>68580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9505" y="129540"/>
          <a:ext cx="1568028" cy="870373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C53"/>
  <sheetViews>
    <sheetView tabSelected="1" topLeftCell="A27" zoomScale="90" zoomScaleNormal="90" workbookViewId="0">
      <selection activeCell="B37" sqref="B37"/>
    </sheetView>
  </sheetViews>
  <sheetFormatPr defaultRowHeight="14.4" x14ac:dyDescent="0.3"/>
  <cols>
    <col min="1" max="1" width="69.44140625" customWidth="1"/>
    <col min="2" max="2" width="30.6640625" bestFit="1" customWidth="1"/>
    <col min="3" max="3" width="20.109375" customWidth="1"/>
    <col min="4" max="4" width="29.44140625" customWidth="1"/>
    <col min="15" max="15" width="13.88671875" bestFit="1" customWidth="1"/>
    <col min="27" max="27" width="12.5546875" hidden="1" customWidth="1"/>
    <col min="28" max="28" width="10.44140625" style="59" hidden="1" customWidth="1"/>
    <col min="29" max="29" width="15.109375" style="59" hidden="1" customWidth="1"/>
    <col min="30" max="30" width="9.109375" customWidth="1"/>
  </cols>
  <sheetData>
    <row r="1" spans="1:29" x14ac:dyDescent="0.3">
      <c r="A1" s="64"/>
      <c r="B1" s="64"/>
      <c r="C1" s="64"/>
      <c r="D1" s="64"/>
      <c r="O1" s="63">
        <f ca="1">NOW()</f>
        <v>45695.692932060185</v>
      </c>
      <c r="AA1" s="59" t="s">
        <v>30</v>
      </c>
      <c r="AB1">
        <v>45505</v>
      </c>
      <c r="AC1">
        <v>45504</v>
      </c>
    </row>
    <row r="2" spans="1:29" x14ac:dyDescent="0.3">
      <c r="A2" s="64"/>
      <c r="B2" s="64"/>
      <c r="C2" s="64"/>
      <c r="D2" s="64"/>
      <c r="AA2" t="s">
        <v>31</v>
      </c>
      <c r="AB2">
        <v>45505</v>
      </c>
    </row>
    <row r="3" spans="1:29" x14ac:dyDescent="0.3">
      <c r="A3" s="64"/>
      <c r="B3" s="64"/>
      <c r="C3" s="64"/>
      <c r="D3" s="64"/>
      <c r="AA3" t="s">
        <v>33</v>
      </c>
      <c r="AB3">
        <v>45504</v>
      </c>
      <c r="AC3" s="59">
        <f>IF(AB3="",AB2-1,AB3)</f>
        <v>45504</v>
      </c>
    </row>
    <row r="4" spans="1:29" x14ac:dyDescent="0.3">
      <c r="A4" s="64"/>
      <c r="B4" s="64"/>
      <c r="C4" s="64"/>
      <c r="D4" s="64"/>
      <c r="AA4" t="s">
        <v>32</v>
      </c>
      <c r="AC4" s="59">
        <f>IF(AB4="",AB2-1,AB4)</f>
        <v>45504</v>
      </c>
    </row>
    <row r="5" spans="1:29" x14ac:dyDescent="0.3">
      <c r="A5" s="64"/>
      <c r="B5" s="64"/>
      <c r="C5" s="64"/>
      <c r="D5" s="64"/>
    </row>
    <row r="6" spans="1:29" x14ac:dyDescent="0.3">
      <c r="A6" s="64"/>
      <c r="B6" s="64"/>
      <c r="C6" s="64"/>
      <c r="D6" s="64"/>
    </row>
    <row r="7" spans="1:29" ht="15.6" customHeight="1" x14ac:dyDescent="0.3">
      <c r="A7" s="69" t="s">
        <v>0</v>
      </c>
      <c r="B7" s="69"/>
      <c r="C7" s="69"/>
      <c r="D7" s="69"/>
    </row>
    <row r="8" spans="1:29" ht="15.6" customHeight="1" x14ac:dyDescent="0.3">
      <c r="A8" s="69" t="s">
        <v>1</v>
      </c>
      <c r="B8" s="69"/>
      <c r="C8" s="69"/>
      <c r="D8" s="69"/>
    </row>
    <row r="9" spans="1:29" ht="15.6" customHeight="1" x14ac:dyDescent="0.3">
      <c r="A9" s="69" t="s">
        <v>2</v>
      </c>
      <c r="B9" s="69"/>
      <c r="C9" s="69"/>
      <c r="D9" s="69"/>
    </row>
    <row r="10" spans="1:29" ht="15.6" x14ac:dyDescent="0.3">
      <c r="A10" s="1"/>
      <c r="B10" s="2"/>
      <c r="C10" s="2"/>
      <c r="D10" s="3"/>
    </row>
    <row r="11" spans="1:29" ht="22.8" x14ac:dyDescent="0.4">
      <c r="A11" s="4" t="s">
        <v>3</v>
      </c>
      <c r="B11" s="5"/>
      <c r="C11" s="6"/>
      <c r="D11" s="6"/>
    </row>
    <row r="12" spans="1:29" ht="22.8" x14ac:dyDescent="0.4">
      <c r="A12" s="7" t="s">
        <v>4</v>
      </c>
      <c r="B12" s="8"/>
      <c r="C12" s="9"/>
      <c r="D12" s="9"/>
    </row>
    <row r="13" spans="1:29" ht="22.8" x14ac:dyDescent="0.4">
      <c r="A13" s="4" t="s">
        <v>5</v>
      </c>
      <c r="B13" s="70">
        <f ca="1">NOW()</f>
        <v>45695.692932060185</v>
      </c>
      <c r="C13" s="6"/>
      <c r="D13" s="6"/>
    </row>
    <row r="14" spans="1:29" ht="22.8" x14ac:dyDescent="0.4">
      <c r="A14" s="10"/>
      <c r="B14" s="11"/>
      <c r="C14" s="11"/>
      <c r="D14" s="11"/>
    </row>
    <row r="15" spans="1:29" ht="15.6" x14ac:dyDescent="0.3">
      <c r="A15" s="12" t="str">
        <f>CONCATENATE("Outstanding Items in the Ledger SUMMARY :",T1)</f>
        <v>Outstanding Items in the Ledger SUMMARY :</v>
      </c>
      <c r="B15" s="13"/>
      <c r="C15" s="13"/>
      <c r="D15" s="14">
        <f>B12</f>
        <v>0</v>
      </c>
    </row>
    <row r="16" spans="1:29" ht="15.6" x14ac:dyDescent="0.3">
      <c r="A16" s="13" t="str">
        <f ca="1">"Ledger balance as at : "&amp;TEXT(O1,"dd mmm yyyy")</f>
        <v>Ledger balance as at : 07 Feb 2025</v>
      </c>
      <c r="B16" s="15"/>
      <c r="C16" s="13"/>
      <c r="D16" s="16"/>
    </row>
    <row r="17" spans="1:4" ht="15.6" x14ac:dyDescent="0.3">
      <c r="A17" s="13" t="s">
        <v>6</v>
      </c>
      <c r="B17" s="13"/>
      <c r="C17" s="13"/>
      <c r="D17" s="16">
        <f>'External outstanding'!D5</f>
        <v>0</v>
      </c>
    </row>
    <row r="18" spans="1:4" ht="15.6" x14ac:dyDescent="0.3">
      <c r="A18" s="13" t="s">
        <v>7</v>
      </c>
      <c r="B18" s="13" t="s">
        <v>8</v>
      </c>
      <c r="C18" s="13"/>
      <c r="D18" s="17">
        <f>'External outstanding'!C5</f>
        <v>0</v>
      </c>
    </row>
    <row r="19" spans="1:4" ht="15.6" x14ac:dyDescent="0.3">
      <c r="A19" s="13"/>
      <c r="B19" s="13"/>
      <c r="C19" s="13"/>
      <c r="D19" s="17"/>
    </row>
    <row r="20" spans="1:4" ht="15.6" x14ac:dyDescent="0.3">
      <c r="A20" s="13"/>
      <c r="B20" s="13" t="s">
        <v>9</v>
      </c>
      <c r="C20" s="13"/>
      <c r="D20" s="18">
        <f>D16+D17-D18</f>
        <v>0</v>
      </c>
    </row>
    <row r="21" spans="1:4" ht="15.6" x14ac:dyDescent="0.3">
      <c r="A21" s="13"/>
      <c r="B21" s="13"/>
      <c r="C21" s="13" t="s">
        <v>8</v>
      </c>
      <c r="D21" s="17" t="s">
        <v>8</v>
      </c>
    </row>
    <row r="22" spans="1:4" ht="15.6" x14ac:dyDescent="0.3">
      <c r="A22" s="19" t="str">
        <f>CONCATENATE("Outstanding Items in the Statement SUMMARY :",T2)</f>
        <v>Outstanding Items in the Statement SUMMARY :</v>
      </c>
      <c r="B22" s="13"/>
      <c r="C22" s="13"/>
      <c r="D22" s="14">
        <f>B12</f>
        <v>0</v>
      </c>
    </row>
    <row r="23" spans="1:4" ht="15.6" x14ac:dyDescent="0.3">
      <c r="A23" s="13" t="str">
        <f ca="1">"Statement balance as at : "&amp;TEXT(O1,"dd mmm yyyy")</f>
        <v>Statement balance as at : 07 Feb 2025</v>
      </c>
      <c r="B23" s="13"/>
      <c r="C23" s="13"/>
      <c r="D23" s="16"/>
    </row>
    <row r="24" spans="1:4" ht="15.6" x14ac:dyDescent="0.3">
      <c r="A24" s="13" t="s">
        <v>10</v>
      </c>
      <c r="B24" s="13"/>
      <c r="C24" s="13" t="s">
        <v>11</v>
      </c>
      <c r="D24" s="16">
        <f>'Internal outstanding'!C5</f>
        <v>0</v>
      </c>
    </row>
    <row r="25" spans="1:4" ht="15.6" x14ac:dyDescent="0.3">
      <c r="A25" s="13" t="s">
        <v>12</v>
      </c>
      <c r="B25" s="13"/>
      <c r="C25" s="13"/>
      <c r="D25" s="17">
        <f>'Internal outstanding'!D5</f>
        <v>0</v>
      </c>
    </row>
    <row r="26" spans="1:4" ht="15.6" x14ac:dyDescent="0.3">
      <c r="A26" s="13"/>
      <c r="B26" s="20"/>
      <c r="C26" s="13"/>
      <c r="D26" s="17"/>
    </row>
    <row r="27" spans="1:4" ht="15.6" x14ac:dyDescent="0.3">
      <c r="A27" s="13"/>
      <c r="B27" s="13" t="s">
        <v>13</v>
      </c>
      <c r="C27" s="13"/>
      <c r="D27" s="18">
        <f>D23+D24-D25</f>
        <v>0</v>
      </c>
    </row>
    <row r="28" spans="1:4" ht="15.6" x14ac:dyDescent="0.3">
      <c r="A28" s="13"/>
      <c r="B28" s="13"/>
      <c r="C28" s="17"/>
      <c r="D28" s="21"/>
    </row>
    <row r="29" spans="1:4" ht="15.6" x14ac:dyDescent="0.3">
      <c r="A29" s="13"/>
      <c r="B29" s="13"/>
      <c r="C29" s="13"/>
      <c r="D29" s="17"/>
    </row>
    <row r="30" spans="1:4" ht="15.6" x14ac:dyDescent="0.3">
      <c r="A30" s="13"/>
      <c r="B30" s="13" t="s">
        <v>14</v>
      </c>
      <c r="C30" s="17"/>
      <c r="D30" s="17">
        <f>D20-D27</f>
        <v>0</v>
      </c>
    </row>
    <row r="31" spans="1:4" ht="15.6" x14ac:dyDescent="0.3">
      <c r="A31" s="13"/>
      <c r="B31" s="13"/>
      <c r="C31" s="13"/>
      <c r="D31" s="17"/>
    </row>
    <row r="32" spans="1:4" ht="15.6" x14ac:dyDescent="0.3">
      <c r="A32" s="13"/>
      <c r="B32" s="13"/>
      <c r="C32" s="13"/>
      <c r="D32" s="17"/>
    </row>
    <row r="33" spans="1:4" ht="15.6" x14ac:dyDescent="0.3">
      <c r="A33" s="13"/>
      <c r="B33" s="13"/>
      <c r="C33" s="13"/>
      <c r="D33" s="17"/>
    </row>
    <row r="34" spans="1:4" ht="15.6" x14ac:dyDescent="0.3">
      <c r="A34" s="1"/>
      <c r="B34" s="1"/>
      <c r="C34" s="1"/>
      <c r="D34" s="22"/>
    </row>
    <row r="35" spans="1:4" ht="15.6" x14ac:dyDescent="0.3">
      <c r="A35" s="1"/>
      <c r="B35" s="1"/>
      <c r="C35" s="22"/>
      <c r="D35" s="22"/>
    </row>
    <row r="36" spans="1:4" ht="18" x14ac:dyDescent="0.35">
      <c r="A36" s="23" t="s">
        <v>36</v>
      </c>
      <c r="B36" s="24"/>
      <c r="C36" s="24"/>
      <c r="D36" s="71">
        <f ca="1">B13</f>
        <v>45695.692932060185</v>
      </c>
    </row>
    <row r="37" spans="1:4" ht="18" x14ac:dyDescent="0.35">
      <c r="A37" s="24"/>
      <c r="B37" s="24"/>
      <c r="C37" s="24"/>
      <c r="D37" s="72"/>
    </row>
    <row r="38" spans="1:4" ht="18" x14ac:dyDescent="0.35">
      <c r="A38" s="23" t="s">
        <v>37</v>
      </c>
      <c r="B38" s="24"/>
      <c r="C38" s="24"/>
      <c r="D38" s="71">
        <f ca="1">D36</f>
        <v>45695.692932060185</v>
      </c>
    </row>
    <row r="39" spans="1:4" ht="18" x14ac:dyDescent="0.35">
      <c r="A39" s="24"/>
      <c r="B39" s="24"/>
      <c r="C39" s="24"/>
      <c r="D39" s="72"/>
    </row>
    <row r="40" spans="1:4" ht="18" x14ac:dyDescent="0.35">
      <c r="A40" s="25" t="s">
        <v>38</v>
      </c>
      <c r="B40" s="25"/>
      <c r="C40" s="24"/>
      <c r="D40" s="71">
        <f ca="1">D36</f>
        <v>45695.692932060185</v>
      </c>
    </row>
    <row r="41" spans="1:4" ht="18" x14ac:dyDescent="0.35">
      <c r="A41" s="24"/>
      <c r="B41" s="24"/>
      <c r="C41" s="24"/>
      <c r="D41" s="24"/>
    </row>
    <row r="42" spans="1:4" ht="17.399999999999999" x14ac:dyDescent="0.3">
      <c r="A42" s="26"/>
      <c r="B42" s="26"/>
      <c r="C42" s="1" t="s">
        <v>11</v>
      </c>
      <c r="D42" s="22"/>
    </row>
    <row r="43" spans="1:4" ht="17.399999999999999" x14ac:dyDescent="0.3">
      <c r="A43" s="26"/>
      <c r="B43" s="26"/>
      <c r="C43" s="1"/>
      <c r="D43" s="22"/>
    </row>
    <row r="44" spans="1:4" ht="17.399999999999999" x14ac:dyDescent="0.3">
      <c r="A44" s="26"/>
      <c r="B44" s="26"/>
      <c r="C44" s="1" t="s">
        <v>15</v>
      </c>
      <c r="D44" s="22"/>
    </row>
    <row r="45" spans="1:4" ht="17.399999999999999" x14ac:dyDescent="0.3">
      <c r="A45" s="26"/>
      <c r="B45" s="26"/>
      <c r="C45" s="22"/>
      <c r="D45" s="22"/>
    </row>
    <row r="46" spans="1:4" ht="17.399999999999999" x14ac:dyDescent="0.3">
      <c r="A46" s="26"/>
      <c r="B46" s="26"/>
      <c r="C46" s="22"/>
      <c r="D46" s="22"/>
    </row>
    <row r="47" spans="1:4" ht="17.399999999999999" x14ac:dyDescent="0.3">
      <c r="A47" s="26"/>
      <c r="B47" s="26"/>
      <c r="C47" s="22"/>
      <c r="D47" s="22"/>
    </row>
    <row r="48" spans="1:4" ht="15.6" x14ac:dyDescent="0.3">
      <c r="A48" s="1" t="s">
        <v>8</v>
      </c>
      <c r="B48" s="1"/>
      <c r="C48" s="22"/>
      <c r="D48" s="22"/>
    </row>
    <row r="49" spans="1:4" ht="15.6" x14ac:dyDescent="0.3">
      <c r="A49" s="1"/>
      <c r="B49" s="1"/>
      <c r="C49" s="22"/>
      <c r="D49" s="22"/>
    </row>
    <row r="50" spans="1:4" ht="15.6" x14ac:dyDescent="0.3">
      <c r="A50" s="1"/>
      <c r="B50" s="22"/>
      <c r="C50" s="22"/>
      <c r="D50" s="22"/>
    </row>
    <row r="51" spans="1:4" ht="15.6" x14ac:dyDescent="0.3">
      <c r="A51" s="1"/>
      <c r="B51" s="22"/>
      <c r="C51" s="22"/>
      <c r="D51" s="22"/>
    </row>
    <row r="52" spans="1:4" ht="15.6" x14ac:dyDescent="0.3">
      <c r="A52" s="1"/>
      <c r="B52" s="27"/>
      <c r="C52" s="22"/>
      <c r="D52" s="22"/>
    </row>
    <row r="53" spans="1:4" ht="15.6" x14ac:dyDescent="0.3">
      <c r="A53" s="1"/>
      <c r="B53" s="22"/>
      <c r="C53" s="22"/>
      <c r="D53" s="22"/>
    </row>
  </sheetData>
  <mergeCells count="4">
    <mergeCell ref="A1:D6"/>
    <mergeCell ref="A7:D7"/>
    <mergeCell ref="A8:D8"/>
    <mergeCell ref="A9:D9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7"/>
  <sheetViews>
    <sheetView zoomScale="70" zoomScaleNormal="70" workbookViewId="0">
      <selection sqref="A1:I4"/>
    </sheetView>
  </sheetViews>
  <sheetFormatPr defaultColWidth="23.109375" defaultRowHeight="15.6" x14ac:dyDescent="0.3"/>
  <cols>
    <col min="1" max="2" width="23.109375" style="50"/>
    <col min="3" max="3" width="23.109375" style="62"/>
    <col min="4" max="4" width="23.109375" style="47"/>
    <col min="5" max="5" width="23.109375" style="48"/>
    <col min="6" max="6" width="23.109375" style="49"/>
    <col min="7" max="7" width="90.33203125" style="46" customWidth="1"/>
    <col min="8" max="11" width="23.109375" style="46"/>
  </cols>
  <sheetData>
    <row r="1" spans="1:11" s="28" customFormat="1" ht="23.25" customHeight="1" x14ac:dyDescent="0.25">
      <c r="A1" s="65" t="s">
        <v>16</v>
      </c>
      <c r="B1" s="65"/>
      <c r="C1" s="65"/>
      <c r="D1" s="65"/>
      <c r="E1" s="65"/>
      <c r="F1" s="65"/>
      <c r="G1" s="65"/>
      <c r="H1" s="65"/>
      <c r="I1" s="65"/>
    </row>
    <row r="2" spans="1:11" s="1" customFormat="1" ht="23.25" customHeight="1" x14ac:dyDescent="0.25">
      <c r="A2" s="66"/>
      <c r="B2" s="66"/>
      <c r="C2" s="66"/>
      <c r="D2" s="66"/>
      <c r="E2" s="66"/>
      <c r="F2" s="66"/>
      <c r="G2" s="66"/>
      <c r="H2" s="66"/>
      <c r="I2" s="66"/>
    </row>
    <row r="3" spans="1:11" s="1" customFormat="1" ht="23.25" customHeight="1" x14ac:dyDescent="0.25">
      <c r="A3" s="66"/>
      <c r="B3" s="66"/>
      <c r="C3" s="66"/>
      <c r="D3" s="66"/>
      <c r="E3" s="66"/>
      <c r="F3" s="66"/>
      <c r="G3" s="66"/>
      <c r="H3" s="66"/>
      <c r="I3" s="66"/>
    </row>
    <row r="4" spans="1:11" ht="23.25" customHeight="1" x14ac:dyDescent="0.3">
      <c r="A4" s="66"/>
      <c r="B4" s="66"/>
      <c r="C4" s="66"/>
      <c r="D4" s="66"/>
      <c r="E4" s="66"/>
      <c r="F4" s="66"/>
      <c r="G4" s="66"/>
      <c r="H4" s="66"/>
      <c r="I4" s="66"/>
      <c r="J4"/>
      <c r="K4"/>
    </row>
    <row r="5" spans="1:11" ht="23.25" customHeight="1" x14ac:dyDescent="0.3">
      <c r="A5" s="29"/>
      <c r="B5" s="30" t="s">
        <v>17</v>
      </c>
      <c r="C5" s="61">
        <f>SUM(C8:C1048576)</f>
        <v>0</v>
      </c>
      <c r="D5" s="31">
        <f>SUM(D8:D1048576)</f>
        <v>0</v>
      </c>
      <c r="E5" s="32"/>
      <c r="F5" s="33"/>
      <c r="G5" s="34"/>
      <c r="H5" s="35"/>
      <c r="I5" s="35"/>
      <c r="J5"/>
      <c r="K5"/>
    </row>
    <row r="6" spans="1:11" ht="23.25" customHeight="1" x14ac:dyDescent="0.3">
      <c r="A6" s="29"/>
      <c r="B6" s="30"/>
      <c r="C6" s="31"/>
      <c r="D6" s="31"/>
      <c r="E6" s="32"/>
      <c r="F6" s="33"/>
      <c r="G6" s="34"/>
      <c r="H6" s="35"/>
      <c r="I6" s="35"/>
      <c r="J6"/>
      <c r="K6"/>
    </row>
    <row r="7" spans="1:11" s="44" customFormat="1" ht="23.25" customHeight="1" x14ac:dyDescent="0.3">
      <c r="A7" s="36" t="s">
        <v>18</v>
      </c>
      <c r="B7" s="37" t="s">
        <v>19</v>
      </c>
      <c r="C7" s="37" t="s">
        <v>20</v>
      </c>
      <c r="D7" s="37" t="s">
        <v>21</v>
      </c>
      <c r="E7" s="38" t="s">
        <v>22</v>
      </c>
      <c r="F7" s="38" t="s">
        <v>23</v>
      </c>
      <c r="G7" s="39" t="s">
        <v>24</v>
      </c>
      <c r="H7" s="40" t="s">
        <v>25</v>
      </c>
      <c r="I7" s="41" t="s">
        <v>26</v>
      </c>
      <c r="J7" s="42" t="s">
        <v>27</v>
      </c>
      <c r="K7" s="43" t="s">
        <v>28</v>
      </c>
    </row>
  </sheetData>
  <sortState ref="A8:K92">
    <sortCondition ref="A8:A92"/>
  </sortState>
  <mergeCells count="1">
    <mergeCell ref="A1:I4"/>
  </mergeCells>
  <conditionalFormatting sqref="E5:E6">
    <cfRule type="duplicateValues" dxfId="4" priority="161" stopIfTrue="1"/>
    <cfRule type="expression" dxfId="3" priority="162" stopIfTrue="1">
      <formula>AND(COUNTIF(#REF!,E5)+COUNTIF($E$1:$E$7,E5)+COUNTIF(#REF!,E5)&gt;1,NOT(ISBLANK(E5)))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L7"/>
  <sheetViews>
    <sheetView zoomScale="80" zoomScaleNormal="80" workbookViewId="0">
      <selection activeCell="G15" sqref="G15"/>
    </sheetView>
  </sheetViews>
  <sheetFormatPr defaultColWidth="21.88671875" defaultRowHeight="15.6" x14ac:dyDescent="0.3"/>
  <cols>
    <col min="1" max="1" width="21.88671875" style="50" customWidth="1"/>
    <col min="2" max="2" width="21.88671875" style="50"/>
    <col min="3" max="3" width="21.88671875" style="60"/>
    <col min="4" max="4" width="21.88671875" style="56"/>
    <col min="5" max="5" width="21.88671875" style="57"/>
    <col min="6" max="6" width="21.88671875" style="58"/>
    <col min="7" max="7" width="24" style="58" customWidth="1"/>
    <col min="8" max="12" width="21.88671875" style="45"/>
    <col min="13" max="16384" width="21.88671875" style="51"/>
  </cols>
  <sheetData>
    <row r="1" spans="1:12" s="28" customFormat="1" ht="16.5" customHeight="1" x14ac:dyDescent="0.25">
      <c r="A1" s="67" t="s">
        <v>29</v>
      </c>
      <c r="B1" s="67"/>
      <c r="C1" s="67"/>
      <c r="D1" s="67"/>
      <c r="E1" s="67"/>
      <c r="F1" s="67"/>
      <c r="G1" s="67"/>
      <c r="H1" s="67"/>
      <c r="I1" s="67"/>
      <c r="J1" s="67"/>
      <c r="K1" s="67"/>
    </row>
    <row r="2" spans="1:12" s="1" customFormat="1" ht="16.5" customHeight="1" x14ac:dyDescent="0.25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</row>
    <row r="3" spans="1:12" s="1" customFormat="1" ht="16.5" customHeight="1" x14ac:dyDescent="0.25">
      <c r="A3" s="68"/>
      <c r="B3" s="68"/>
      <c r="C3" s="68"/>
      <c r="D3" s="68"/>
      <c r="E3" s="68"/>
      <c r="F3" s="68"/>
      <c r="G3" s="68"/>
      <c r="H3" s="68"/>
      <c r="I3" s="68"/>
      <c r="J3" s="68"/>
      <c r="K3" s="68"/>
    </row>
    <row r="4" spans="1:12" ht="16.5" customHeight="1" x14ac:dyDescent="0.3">
      <c r="A4" s="68"/>
      <c r="B4" s="68"/>
      <c r="C4" s="68"/>
      <c r="D4" s="68"/>
      <c r="E4" s="68"/>
      <c r="F4" s="68"/>
      <c r="G4" s="68"/>
      <c r="H4" s="68"/>
      <c r="I4" s="68"/>
      <c r="J4" s="68"/>
      <c r="K4" s="68"/>
      <c r="L4" s="51"/>
    </row>
    <row r="5" spans="1:12" ht="16.5" customHeight="1" x14ac:dyDescent="0.3">
      <c r="A5" s="30">
        <f>'Internal outstanding'!A5</f>
        <v>0</v>
      </c>
      <c r="B5" s="30"/>
      <c r="C5" s="61">
        <f>SUM(C8:C1048576)</f>
        <v>0</v>
      </c>
      <c r="D5" s="31">
        <f>SUM(D8:D1048576)</f>
        <v>0</v>
      </c>
      <c r="E5" s="32"/>
      <c r="F5" s="33"/>
      <c r="G5" s="33"/>
      <c r="H5" s="34"/>
      <c r="I5" s="34"/>
      <c r="J5" s="32"/>
      <c r="K5" s="32"/>
      <c r="L5" s="51"/>
    </row>
    <row r="6" spans="1:12" ht="16.2" customHeight="1" thickBot="1" x14ac:dyDescent="0.35">
      <c r="A6" s="52"/>
      <c r="B6" s="30"/>
      <c r="C6" s="31"/>
      <c r="D6" s="31"/>
      <c r="E6" s="32"/>
      <c r="F6" s="33"/>
      <c r="G6" s="33"/>
      <c r="H6" s="34"/>
      <c r="I6" s="34"/>
      <c r="J6" s="32"/>
      <c r="K6" s="32"/>
      <c r="L6" s="51"/>
    </row>
    <row r="7" spans="1:12" s="44" customFormat="1" ht="16.2" customHeight="1" x14ac:dyDescent="0.3">
      <c r="A7" s="36" t="s">
        <v>18</v>
      </c>
      <c r="B7" s="53" t="s">
        <v>19</v>
      </c>
      <c r="C7" s="53" t="s">
        <v>20</v>
      </c>
      <c r="D7" s="53" t="s">
        <v>21</v>
      </c>
      <c r="E7" s="54" t="s">
        <v>22</v>
      </c>
      <c r="F7" s="54" t="s">
        <v>23</v>
      </c>
      <c r="G7" s="54" t="s">
        <v>34</v>
      </c>
      <c r="H7" s="36" t="s">
        <v>24</v>
      </c>
      <c r="I7" s="36" t="s">
        <v>35</v>
      </c>
      <c r="J7" s="40" t="s">
        <v>25</v>
      </c>
      <c r="K7" s="40" t="s">
        <v>26</v>
      </c>
      <c r="L7" s="55" t="s">
        <v>27</v>
      </c>
    </row>
  </sheetData>
  <sortState ref="A8:H383">
    <sortCondition ref="A8:A383"/>
  </sortState>
  <mergeCells count="1">
    <mergeCell ref="A1:K4"/>
  </mergeCells>
  <conditionalFormatting sqref="F1:G1048576">
    <cfRule type="duplicateValues" dxfId="2" priority="1"/>
  </conditionalFormatting>
  <conditionalFormatting sqref="E5:E6">
    <cfRule type="duplicateValues" dxfId="1" priority="159" stopIfTrue="1"/>
    <cfRule type="expression" dxfId="0" priority="160" stopIfTrue="1">
      <formula>AND(COUNTIF(#REF!,E5)+COUNTIF($E$1:$E$7,E5)+COUNTIF(#REF!,E5)&gt;1,NOT(ISBLANK(E5)))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Internal outstanding</vt:lpstr>
      <vt:lpstr>External outstanding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Saswati.Padhi</dc:creator>
  <cp:keywords/>
  <dc:description/>
  <cp:lastModifiedBy>Kelvin Chelenje</cp:lastModifiedBy>
  <dcterms:created xsi:type="dcterms:W3CDTF">2023-04-13T06:07:21Z</dcterms:created>
  <dcterms:modified xsi:type="dcterms:W3CDTF">2025-02-07T13:38:20Z</dcterms:modified>
  <cp:category/>
</cp:coreProperties>
</file>